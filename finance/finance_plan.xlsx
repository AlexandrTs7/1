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Бюджет" sheetId="2" state="visible" r:id="rId4"/>
    <sheet name="Капитал" sheetId="3" state="visible" r:id="rId5"/>
    <sheet name="Подушка" sheetId="4" state="visible" r:id="rId6"/>
    <sheet name="Цели" sheetId="5" state="visible" r:id="rId7"/>
    <sheet name="Долг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<sst xmlns="http://schemas.openxmlformats.org/spreadsheetml/2006/main" count="173" uniqueCount="141">
  <si>
    <t xml:space="preserve">Личный финансовый план — как пользоваться</t>
  </si>
  <si>
    <t xml:space="preserve">Ячейки с ЖЁЛТОЙ заливкой и СИНИМ шрифтом — вводите свои данные. Чёрный шрифт — формулы, их не трогайте.</t>
  </si>
  <si>
    <t xml:space="preserve">Валюта по умолчанию — тенге (₸). Сменить: выделить ячейки → Формат ячеек → заменить ₸ на свою валюту.</t>
  </si>
  <si>
    <t xml:space="preserve">Первая строка в таблицах «Цели» и «Долги» — пример, перезапишите своими данными.</t>
  </si>
  <si>
    <t xml:space="preserve">Порядок работы:</t>
  </si>
  <si>
    <t xml:space="preserve">1. Капитал — перечислите всё, что у вас есть, и все долги. Это ваша стартовая точка.</t>
  </si>
  <si>
    <t xml:space="preserve">2. Бюджет — 1–2 месяца просто записывайте факт расходов по категориям, не меняя поведения.</t>
  </si>
  <si>
    <t xml:space="preserve">3. Подушка — посчитайте, сколько нужно на «чёрный день» (3–6 месяцев обязательных расходов).</t>
  </si>
  <si>
    <t xml:space="preserve">4. Долги — погасите дорогие (ставка выше ~15–20%) раньше, чем начинать инвестировать.</t>
  </si>
  <si>
    <t xml:space="preserve">5. Цели — у каждой цели сумма и срок; таблица покажет, сколько откладывать в месяц.</t>
  </si>
  <si>
    <t xml:space="preserve">6. Раз в месяц (~30 минут): внести факт, обновить Капитал, сравнить с планом.</t>
  </si>
  <si>
    <t xml:space="preserve">Ориентиры (не догма): норма сбережений ≥ 20% дохода; обязательные расходы ≤ 50%; желания ≤ 30%.</t>
  </si>
  <si>
    <t xml:space="preserve">Ориентиры подставлены в лист «Бюджет» как допущения — их можно поменять.</t>
  </si>
  <si>
    <t xml:space="preserve">Бюджет: доходы и расходы по месяцам (факт)</t>
  </si>
  <si>
    <t xml:space="preserve">Июль–сентябрь 2026: факт по выписке Kaspi + аренда и коммуналка наличными. Транзит через Дидара (403 тыс.) исключён. «План/мес» = среднее за 3 мес., без зарплаты Александре (прекращено) и без возвратов от друзей.</t>
  </si>
  <si>
    <t xml:space="preserve">Категория</t>
  </si>
  <si>
    <t xml:space="preserve">Тип</t>
  </si>
  <si>
    <t xml:space="preserve">План/мес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</si>
  <si>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</si>
  <si>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</si>
  <si>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</si>
  <si>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</si>
  <si>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</si>
  <si>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</si>
  <si>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</si>
  <si>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</si>
  <si>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</si>
  <si>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</si>
  <si>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</si>
  <si>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</si>
  <si>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Итого за год</t>
  </si>
  <si>
    <t xml:space="preserve">Среднее/мес</t>
  </si>
  <si>
    <t xml:space="preserve">Доходы</t>
  </si>
  <si>
    <t xml:space="preserve">Зарплата</t>
  </si>
  <si>
    <t xml:space="preserve">Доход</t>
  </si>
  <si>
    <t xml:space="preserve">Подработки (нерегулярно, в план не закладываем)</t>
  </si>
  <si>
    <t xml:space="preserve">Возвраты от друзей и прочие поступления</t>
  </si>
  <si>
    <t xml:space="preserve">Итого: доходы</t>
  </si>
  <si>
    <t xml:space="preserve">Обязательные расходы</t>
  </si>
  <si>
    <t xml:space="preserve">Жильё: аренда 450 тыс. + коммуналка ~27,5 тыс. (наличными)</t>
  </si>
  <si>
    <t xml:space="preserve">Обязательное</t>
  </si>
  <si>
    <t xml:space="preserve">Продукты</t>
  </si>
  <si>
    <t xml:space="preserve">Транспорт (такси, автобус, бензин)</t>
  </si>
  <si>
    <t xml:space="preserve">Связь и интернет</t>
  </si>
  <si>
    <t xml:space="preserve">Здоровье, лекарства</t>
  </si>
  <si>
    <t xml:space="preserve">Платежи по долгам (минимальные)</t>
  </si>
  <si>
    <t xml:space="preserve">Налоги</t>
  </si>
  <si>
    <t xml:space="preserve">IT-сервисы и реклама (работа)</t>
  </si>
  <si>
    <t xml:space="preserve">Итого: обязательные расходы</t>
  </si>
  <si>
    <t xml:space="preserve">Желания</t>
  </si>
  <si>
    <t xml:space="preserve">Кафе, рестораны, кофе, доставка</t>
  </si>
  <si>
    <t xml:space="preserve">Желание</t>
  </si>
  <si>
    <t xml:space="preserve">Спорт и развлечения</t>
  </si>
  <si>
    <t xml:space="preserve">Одежда, красота, покупки</t>
  </si>
  <si>
    <t xml:space="preserve">Боулинг (тренер, инвентарь, игры)</t>
  </si>
  <si>
    <t xml:space="preserve">Цветы и подарки</t>
  </si>
  <si>
    <t xml:space="preserve">Прочие переводы, супруге, наличные, прочее</t>
  </si>
  <si>
    <t xml:space="preserve">Итого: желания</t>
  </si>
  <si>
    <t xml:space="preserve">Сбережения и инвестиции</t>
  </si>
  <si>
    <t xml:space="preserve">Подушка безопасности</t>
  </si>
  <si>
    <t xml:space="preserve">Сбережения</t>
  </si>
  <si>
    <t xml:space="preserve">Цели</t>
  </si>
  <si>
    <t xml:space="preserve">Инвестиции</t>
  </si>
  <si>
    <t xml:space="preserve">Итого: сбережения и инвестиции</t>
  </si>
  <si>
    <t xml:space="preserve">СВОДКА</t>
  </si>
  <si>
    <t xml:space="preserve">Остаток (доход − все расходы − сбережения)</t>
  </si>
  <si>
    <t xml:space="preserve">Доля обязательных расходов</t>
  </si>
  <si>
    <t xml:space="preserve">Доля желаний</t>
  </si>
  <si>
    <t xml:space="preserve">Норма сбережений</t>
  </si>
  <si>
    <t xml:space="preserve">Допущения (ориентиры, можно менять)</t>
  </si>
  <si>
    <t xml:space="preserve">Цель: обязательные ≤</t>
  </si>
  <si>
    <t xml:space="preserve">Цель: желания ≤</t>
  </si>
  <si>
    <t xml:space="preserve">Цель: сбережения ≥</t>
  </si>
  <si>
    <t xml:space="preserve">Источник ориентиров: правило 50/30/20 (Э. Уоррен, «All Your Worth», 2005).</t>
  </si>
  <si>
    <t xml:space="preserve">Капитал: что есть и сколько должен</t>
  </si>
  <si>
    <t xml:space="preserve">Обновляйте раз в месяц. Дата снимка:</t>
  </si>
  <si>
    <t xml:space="preserve">Актив</t>
  </si>
  <si>
    <t xml:space="preserve">Сумма</t>
  </si>
  <si>
    <t xml:space="preserve">Ликвидный? (да/нет)</t>
  </si>
  <si>
    <t xml:space="preserve">Наличные</t>
  </si>
  <si>
    <t xml:space="preserve">Деньги</t>
  </si>
  <si>
    <t xml:space="preserve">да</t>
  </si>
  <si>
    <t xml:space="preserve">Карта / текущий счёт</t>
  </si>
  <si>
    <t xml:space="preserve">Депозит</t>
  </si>
  <si>
    <t xml:space="preserve">Брокерский счёт</t>
  </si>
  <si>
    <t xml:space="preserve">Пенсионные накопления</t>
  </si>
  <si>
    <t xml:space="preserve">нет</t>
  </si>
  <si>
    <t xml:space="preserve">Квартира</t>
  </si>
  <si>
    <t xml:space="preserve">Недвижимость</t>
  </si>
  <si>
    <t xml:space="preserve">Автомобиль</t>
  </si>
  <si>
    <t xml:space="preserve">Имущество</t>
  </si>
  <si>
    <t xml:space="preserve">Итого активы</t>
  </si>
  <si>
    <t xml:space="preserve">из них ликвидные</t>
  </si>
  <si>
    <t xml:space="preserve">Долг</t>
  </si>
  <si>
    <t xml:space="preserve">Остаток долга</t>
  </si>
  <si>
    <t xml:space="preserve">Ипотека</t>
  </si>
  <si>
    <t xml:space="preserve">Кредит</t>
  </si>
  <si>
    <t xml:space="preserve">Потребительский кредит</t>
  </si>
  <si>
    <t xml:space="preserve">Кредитная карта</t>
  </si>
  <si>
    <t xml:space="preserve">Рассрочки</t>
  </si>
  <si>
    <t xml:space="preserve">Долги друзьям</t>
  </si>
  <si>
    <t xml:space="preserve">Личный</t>
  </si>
  <si>
    <t xml:space="preserve">Итого долги</t>
  </si>
  <si>
    <t xml:space="preserve">ЧИСТЫЙ КАПИТАЛ (активы − долги)</t>
  </si>
  <si>
    <t xml:space="preserve">Обязательные расходы в месяц (среднее из «Бюджета»)</t>
  </si>
  <si>
    <t xml:space="preserve">…или введите вручную, если бюджета ещё нет</t>
  </si>
  <si>
    <t xml:space="preserve">Используемая сумма обязательных расходов</t>
  </si>
  <si>
    <t xml:space="preserve">Сколько месяцев покрыть (3 — стабильная работа, 6+ — фриланс/один доход в семье)</t>
  </si>
  <si>
    <t xml:space="preserve">Целевой размер подушки</t>
  </si>
  <si>
    <t xml:space="preserve">Сейчас ликвидных денег (из «Капитала»)</t>
  </si>
  <si>
    <t xml:space="preserve">Не хватает</t>
  </si>
  <si>
    <t xml:space="preserve">Готово</t>
  </si>
  <si>
    <t xml:space="preserve">Сколько готовы откладывать в месяц</t>
  </si>
  <si>
    <t xml:space="preserve">Месяцев до полной подушки</t>
  </si>
  <si>
    <t xml:space="preserve">Где держать: депозит/накопительный счёт с быстрым снятием. Не в акциях и не в крипте.</t>
  </si>
  <si>
    <t xml:space="preserve">Финансовые цели</t>
  </si>
  <si>
    <t xml:space="preserve">Дата расчёта:</t>
  </si>
  <si>
    <t xml:space="preserve">Цель</t>
  </si>
  <si>
    <t xml:space="preserve">Приоритет (1–3)</t>
  </si>
  <si>
    <t xml:space="preserve">Нужная сумма</t>
  </si>
  <si>
    <t xml:space="preserve">Срок (дата)</t>
  </si>
  <si>
    <t xml:space="preserve">Уже накоплено</t>
  </si>
  <si>
    <t xml:space="preserve">Осталось</t>
  </si>
  <si>
    <t xml:space="preserve">Месяцев до срока</t>
  </si>
  <si>
    <t xml:space="preserve">Откладывать в месяц</t>
  </si>
  <si>
    <t xml:space="preserve">Прогресс</t>
  </si>
  <si>
    <t xml:space="preserve">Пример: отпуск</t>
  </si>
  <si>
    <t xml:space="preserve">Итого откладывать в месяц на все цели</t>
  </si>
  <si>
    <t xml:space="preserve">Сравните с суммой «Цели» в листе «Бюджет». Если не помещается — сдвиньте срок или уберите цель с приоритетом 3.</t>
  </si>
  <si>
    <t xml:space="preserve">Долги: план погашения</t>
  </si>
  <si>
    <t xml:space="preserve">Метод «лавина»: платите минимум по всем, а всё лишнее — в долг с самой высокой ставкой. Сортируйте таблицу по ставке (по убыванию).</t>
  </si>
  <si>
    <t xml:space="preserve">Остаток</t>
  </si>
  <si>
    <t xml:space="preserve">Ставка, % годовых</t>
  </si>
  <si>
    <t xml:space="preserve">Мин. платёж/мес</t>
  </si>
  <si>
    <t xml:space="preserve">Доп. платёж/мес</t>
  </si>
  <si>
    <t xml:space="preserve">Проценты в месяц (≈)</t>
  </si>
  <si>
    <t xml:space="preserve">Месяцев до погашения (≈)</t>
  </si>
  <si>
    <t xml:space="preserve">Переплата процентов (≈)</t>
  </si>
  <si>
    <t xml:space="preserve">Пример: кредитная карта</t>
  </si>
  <si>
    <t xml:space="preserve">Итого</t>
  </si>
  <si>
    <t xml:space="preserve">Расчёт приблизительный: аннуитет, ставка постоянная, без комиссий и страховок.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</si>
</sst>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₸&quot;;\(#,##0&quot; ₸)&quot;;\-"/>
    <numFmt numFmtId="166" formatCode="0.0%;\(0.0%\);\-"/>
    <numFmt numFmtId="167" formatCode="dd\.mm\.yyyy"/>
    <numFmt numFmtId="168" formatCode="0&quot; мес.&quot;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3" style="1" width="12"/>
    <col collapsed="false" customWidth="true" hidden="false" outlineLevel="0" max="16" min="16" style="1" width="15"/>
    <col collapsed="false" customWidth="true" hidden="false" outlineLevel="0" max="17" min="17" style="1" width="14"/>
  </cols>
  <sheetData>
    <row r="1" customFormat="false" ht="17.25" hidden="false" customHeight="true" outlineLevel="0" collapsed="false">
      <c r="A1" s="2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customFormat="false" ht="15" hidden="false" customHeight="true" outlineLevel="0" collapsed="false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5" hidden="false" customHeight="tru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  <c r="O3" s="6" t="s">
        <v>29</v>
      </c>
      <c r="P3" s="6" t="s">
        <v>30</v>
      </c>
      <c r="Q3" s="6" t="s">
        <v>31</v>
      </c>
    </row>
    <row r="4" customFormat="false" ht="15" hidden="false" customHeight="true" outlineLevel="0" collapsed="false">
      <c r="A4" s="7" t="s">
        <v>32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true" outlineLevel="0" collapsed="false">
      <c r="A5" s="3" t="s">
        <v>33</v>
      </c>
      <c r="B5" s="3" t="s">
        <v>34</v>
      </c>
      <c r="C5" s="9" t="n">
        <v>1800000</v>
      </c>
      <c r="D5" s="9"/>
      <c r="E5" s="9"/>
      <c r="F5" s="9"/>
      <c r="G5" s="9"/>
      <c r="H5" s="9"/>
      <c r="I5" s="9"/>
      <c r="J5" s="9" t="n">
        <v>1319900</v>
      </c>
      <c r="K5" s="9" t="n">
        <v>1897398</v>
      </c>
      <c r="L5" s="9" t="n">
        <v>1303700</v>
      </c>
      <c r="M5" s="9"/>
      <c r="N5" s="9"/>
      <c r="O5" s="9"/>
      <c r="P5" s="10" t="n">
        <f aca="false">SUM(D5:O5)</f>
        <v>4520998</v>
      </c>
      <c r="Q5" s="10" t="n">
        <f aca="false">IFERROR(AVERAGEIF(D5:O5,"&lt;&gt;"),0)</f>
        <v>1506999.33333333</v>
      </c>
    </row>
    <row r="6" customFormat="false" ht="15" hidden="false" customHeight="true" outlineLevel="0" collapsed="false">
      <c r="A6" s="3" t="s">
        <v>35</v>
      </c>
      <c r="B6" s="3" t="s">
        <v>34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 t="n">
        <f aca="false">SUM(D6:O6)</f>
        <v>0</v>
      </c>
      <c r="Q6" s="10" t="n">
        <f aca="false">IFERROR(AVERAGEIF(D6:O6,"&lt;&gt;"),0)</f>
        <v>0</v>
      </c>
    </row>
    <row r="7" customFormat="false" ht="15" hidden="false" customHeight="true" outlineLevel="0" collapsed="false">
      <c r="A7" s="3" t="s">
        <v>36</v>
      </c>
      <c r="B7" s="3" t="s">
        <v>34</v>
      </c>
      <c r="C7" s="9" t="n">
        <v>0</v>
      </c>
      <c r="D7" s="9"/>
      <c r="E7" s="9"/>
      <c r="F7" s="9"/>
      <c r="G7" s="9"/>
      <c r="H7" s="9"/>
      <c r="I7" s="9"/>
      <c r="J7" s="9" t="n">
        <v>53260</v>
      </c>
      <c r="K7" s="9" t="n">
        <v>297229</v>
      </c>
      <c r="L7" s="9" t="n">
        <v>382594</v>
      </c>
      <c r="M7" s="9"/>
      <c r="N7" s="9"/>
      <c r="O7" s="9"/>
      <c r="P7" s="10" t="n">
        <f aca="false">SUM(D7:O7)</f>
        <v>733083</v>
      </c>
      <c r="Q7" s="10" t="n">
        <f aca="false">IFERROR(AVERAGEIF(D7:O7,"&lt;&gt;"),0)</f>
        <v>244361</v>
      </c>
    </row>
    <row r="8" customFormat="false" ht="15" hidden="false" customHeight="true" outlineLevel="0" collapsed="false">
      <c r="A8" s="11" t="s">
        <v>37</v>
      </c>
      <c r="B8" s="5"/>
      <c r="C8" s="12" t="n">
        <f aca="false">SUM(C5:C7)</f>
        <v>1800000</v>
      </c>
      <c r="D8" s="12" t="n">
        <f aca="false">SUM(D5:D7)</f>
        <v>0</v>
      </c>
      <c r="E8" s="12" t="n">
        <f aca="false">SUM(E5:E7)</f>
        <v>0</v>
      </c>
      <c r="F8" s="12" t="n">
        <f aca="false">SUM(F5:F7)</f>
        <v>0</v>
      </c>
      <c r="G8" s="12" t="n">
        <f aca="false">SUM(G5:G7)</f>
        <v>0</v>
      </c>
      <c r="H8" s="12" t="n">
        <f aca="false">SUM(H5:H7)</f>
        <v>0</v>
      </c>
      <c r="I8" s="12" t="n">
        <f aca="false">SUM(I5:I7)</f>
        <v>0</v>
      </c>
      <c r="J8" s="12" t="n">
        <f aca="false">SUM(J5:J7)</f>
        <v>1373160</v>
      </c>
      <c r="K8" s="12" t="n">
        <f aca="false">SUM(K5:K7)</f>
        <v>2194627</v>
      </c>
      <c r="L8" s="12" t="n">
        <f aca="false">SUM(L5:L7)</f>
        <v>1686294</v>
      </c>
      <c r="M8" s="12" t="n">
        <f aca="false">SUM(M5:M7)</f>
        <v>0</v>
      </c>
      <c r="N8" s="12" t="n">
        <f aca="false">SUM(N5:N7)</f>
        <v>0</v>
      </c>
      <c r="O8" s="12" t="n">
        <f aca="false">SUM(O5:O7)</f>
        <v>0</v>
      </c>
      <c r="P8" s="12" t="n">
        <f aca="false">SUM(P5:P7)</f>
        <v>5254081</v>
      </c>
      <c r="Q8" s="12" t="n">
        <f aca="false">SUM(Q5:Q7)</f>
        <v>1751360.33333333</v>
      </c>
    </row>
    <row r="9" customFormat="false" ht="1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customFormat="false" ht="15" hidden="false" customHeight="true" outlineLevel="0" collapsed="false">
      <c r="A10" s="7" t="s">
        <v>38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customFormat="false" ht="15" hidden="false" customHeight="true" outlineLevel="0" collapsed="false">
      <c r="A11" s="3" t="s">
        <v>39</v>
      </c>
      <c r="B11" s="3" t="s">
        <v>40</v>
      </c>
      <c r="C11" s="9" t="n">
        <v>478000</v>
      </c>
      <c r="D11" s="9"/>
      <c r="E11" s="9"/>
      <c r="F11" s="9"/>
      <c r="G11" s="9"/>
      <c r="H11" s="9"/>
      <c r="I11" s="9"/>
      <c r="J11" s="9" t="n">
        <v>477500</v>
      </c>
      <c r="K11" s="9" t="n">
        <v>477500</v>
      </c>
      <c r="L11" s="9" t="n">
        <v>477500</v>
      </c>
      <c r="M11" s="9"/>
      <c r="N11" s="9"/>
      <c r="O11" s="9"/>
      <c r="P11" s="10" t="n">
        <f aca="false">SUM(D11:O11)</f>
        <v>1432500</v>
      </c>
      <c r="Q11" s="10" t="n">
        <f aca="false">IFERROR(AVERAGEIF(D11:O11,"&lt;&gt;"),0)</f>
        <v>477500</v>
      </c>
    </row>
    <row r="12" customFormat="false" ht="15" hidden="false" customHeight="true" outlineLevel="0" collapsed="false">
      <c r="A12" s="3" t="s">
        <v>41</v>
      </c>
      <c r="B12" s="3" t="s">
        <v>40</v>
      </c>
      <c r="C12" s="9" t="n">
        <v>329000</v>
      </c>
      <c r="D12" s="9"/>
      <c r="E12" s="9"/>
      <c r="F12" s="9"/>
      <c r="G12" s="9"/>
      <c r="H12" s="9"/>
      <c r="I12" s="9"/>
      <c r="J12" s="9" t="n">
        <v>382991</v>
      </c>
      <c r="K12" s="9" t="n">
        <v>330674</v>
      </c>
      <c r="L12" s="9" t="n">
        <v>274329</v>
      </c>
      <c r="M12" s="9"/>
      <c r="N12" s="9"/>
      <c r="O12" s="9"/>
      <c r="P12" s="10" t="n">
        <f aca="false">SUM(D12:O12)</f>
        <v>987994</v>
      </c>
      <c r="Q12" s="10" t="n">
        <f aca="false">IFERROR(AVERAGEIF(D12:O12,"&lt;&gt;"),0)</f>
        <v>329331.333333333</v>
      </c>
    </row>
    <row r="13" customFormat="false" ht="15" hidden="false" customHeight="true" outlineLevel="0" collapsed="false">
      <c r="A13" s="3" t="s">
        <v>42</v>
      </c>
      <c r="B13" s="3" t="s">
        <v>40</v>
      </c>
      <c r="C13" s="9" t="n">
        <v>171000</v>
      </c>
      <c r="D13" s="9"/>
      <c r="E13" s="9"/>
      <c r="F13" s="9"/>
      <c r="G13" s="9"/>
      <c r="H13" s="9"/>
      <c r="I13" s="9"/>
      <c r="J13" s="9" t="n">
        <v>147665</v>
      </c>
      <c r="K13" s="9" t="n">
        <v>113376</v>
      </c>
      <c r="L13" s="9" t="n">
        <v>251503</v>
      </c>
      <c r="M13" s="9"/>
      <c r="N13" s="9"/>
      <c r="O13" s="9"/>
      <c r="P13" s="10" t="n">
        <f aca="false">SUM(D13:O13)</f>
        <v>512544</v>
      </c>
      <c r="Q13" s="10" t="n">
        <f aca="false">IFERROR(AVERAGEIF(D13:O13,"&lt;&gt;"),0)</f>
        <v>170848</v>
      </c>
    </row>
    <row r="14" customFormat="false" ht="15" hidden="false" customHeight="true" outlineLevel="0" collapsed="false">
      <c r="A14" s="3" t="s">
        <v>43</v>
      </c>
      <c r="B14" s="3" t="s">
        <v>40</v>
      </c>
      <c r="C14" s="9" t="n">
        <v>6000</v>
      </c>
      <c r="D14" s="9"/>
      <c r="E14" s="9"/>
      <c r="F14" s="9"/>
      <c r="G14" s="9"/>
      <c r="H14" s="9"/>
      <c r="I14" s="9"/>
      <c r="J14" s="9" t="n">
        <v>12960</v>
      </c>
      <c r="K14" s="9"/>
      <c r="L14" s="9" t="n">
        <v>4499</v>
      </c>
      <c r="M14" s="9"/>
      <c r="N14" s="9"/>
      <c r="O14" s="9"/>
      <c r="P14" s="10" t="n">
        <f aca="false">SUM(D14:O14)</f>
        <v>17459</v>
      </c>
      <c r="Q14" s="10" t="n">
        <f aca="false">IFERROR(AVERAGEIF(D14:O14,"&lt;&gt;"),0)</f>
        <v>8729.5</v>
      </c>
    </row>
    <row r="15" customFormat="false" ht="15" hidden="false" customHeight="true" outlineLevel="0" collapsed="false">
      <c r="A15" s="3" t="s">
        <v>44</v>
      </c>
      <c r="B15" s="3" t="s">
        <v>40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 t="n">
        <f aca="false">SUM(D15:O15)</f>
        <v>0</v>
      </c>
      <c r="Q15" s="10" t="n">
        <f aca="false">IFERROR(AVERAGEIF(D15:O15,"&lt;&gt;"),0)</f>
        <v>0</v>
      </c>
    </row>
    <row r="16" customFormat="false" ht="15" hidden="false" customHeight="true" outlineLevel="0" collapsed="false">
      <c r="A16" s="3" t="s">
        <v>45</v>
      </c>
      <c r="B16" s="3" t="s">
        <v>40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 t="n">
        <f aca="false">SUM(D16:O16)</f>
        <v>0</v>
      </c>
      <c r="Q16" s="10" t="n">
        <f aca="false">IFERROR(AVERAGEIF(D16:O16,"&lt;&gt;"),0)</f>
        <v>0</v>
      </c>
    </row>
    <row r="17" customFormat="false" ht="15" hidden="false" customHeight="true" outlineLevel="0" collapsed="false">
      <c r="A17" s="3" t="s">
        <v>46</v>
      </c>
      <c r="B17" s="3" t="s">
        <v>40</v>
      </c>
      <c r="C17" s="9" t="n">
        <v>27000</v>
      </c>
      <c r="D17" s="9"/>
      <c r="E17" s="9"/>
      <c r="F17" s="9"/>
      <c r="G17" s="9"/>
      <c r="H17" s="9"/>
      <c r="I17" s="9"/>
      <c r="J17" s="9"/>
      <c r="K17" s="9" t="n">
        <v>79900</v>
      </c>
      <c r="L17" s="9" t="n">
        <v>1650</v>
      </c>
      <c r="M17" s="9"/>
      <c r="N17" s="9"/>
      <c r="O17" s="9"/>
      <c r="P17" s="10" t="n">
        <f aca="false">SUM(D17:O17)</f>
        <v>81550</v>
      </c>
      <c r="Q17" s="10" t="n">
        <f aca="false">IFERROR(AVERAGEIF(D17:O17,"&lt;&gt;"),0)</f>
        <v>40775</v>
      </c>
    </row>
    <row r="18" customFormat="false" ht="15" hidden="false" customHeight="true" outlineLevel="0" collapsed="false">
      <c r="A18" s="3" t="s">
        <v>47</v>
      </c>
      <c r="B18" s="3" t="s">
        <v>40</v>
      </c>
      <c r="C18" s="9" t="n">
        <v>85000</v>
      </c>
      <c r="D18" s="9"/>
      <c r="E18" s="9"/>
      <c r="F18" s="9"/>
      <c r="G18" s="9"/>
      <c r="H18" s="9"/>
      <c r="I18" s="9"/>
      <c r="J18" s="9" t="n">
        <v>74890</v>
      </c>
      <c r="K18" s="9" t="n">
        <v>108492</v>
      </c>
      <c r="L18" s="9" t="n">
        <v>73060</v>
      </c>
      <c r="M18" s="9"/>
      <c r="N18" s="9"/>
      <c r="O18" s="9"/>
      <c r="P18" s="10" t="n">
        <f aca="false">SUM(D18:O18)</f>
        <v>256442</v>
      </c>
      <c r="Q18" s="10" t="n">
        <f aca="false">IFERROR(AVERAGEIF(D18:O18,"&lt;&gt;"),0)</f>
        <v>85480.6666666667</v>
      </c>
    </row>
    <row r="19" customFormat="false" ht="15" hidden="false" customHeight="true" outlineLevel="0" collapsed="false">
      <c r="A19" s="11" t="s">
        <v>48</v>
      </c>
      <c r="B19" s="5"/>
      <c r="C19" s="12" t="n">
        <f aca="false">SUM(C11:C18)</f>
        <v>1096000</v>
      </c>
      <c r="D19" s="12" t="n">
        <f aca="false">SUM(D11:D18)</f>
        <v>0</v>
      </c>
      <c r="E19" s="12" t="n">
        <f aca="false">SUM(E11:E18)</f>
        <v>0</v>
      </c>
      <c r="F19" s="12" t="n">
        <f aca="false">SUM(F11:F18)</f>
        <v>0</v>
      </c>
      <c r="G19" s="12" t="n">
        <f aca="false">SUM(G11:G18)</f>
        <v>0</v>
      </c>
      <c r="H19" s="12" t="n">
        <f aca="false">SUM(H11:H18)</f>
        <v>0</v>
      </c>
      <c r="I19" s="12" t="n">
        <f aca="false">SUM(I11:I18)</f>
        <v>0</v>
      </c>
      <c r="J19" s="12" t="n">
        <f aca="false">SUM(J11:J18)</f>
        <v>1096006</v>
      </c>
      <c r="K19" s="12" t="n">
        <f aca="false">SUM(K11:K18)</f>
        <v>1109942</v>
      </c>
      <c r="L19" s="12" t="n">
        <f aca="false">SUM(L11:L18)</f>
        <v>1082541</v>
      </c>
      <c r="M19" s="12" t="n">
        <f aca="false">SUM(M11:M18)</f>
        <v>0</v>
      </c>
      <c r="N19" s="12" t="n">
        <f aca="false">SUM(N11:N18)</f>
        <v>0</v>
      </c>
      <c r="O19" s="12" t="n">
        <f aca="false">SUM(O11:O18)</f>
        <v>0</v>
      </c>
      <c r="P19" s="12" t="n">
        <f aca="false">SUM(P11:P18)</f>
        <v>3288489</v>
      </c>
      <c r="Q19" s="12" t="n">
        <f aca="false">SUM(Q11:Q18)</f>
        <v>1112664.5</v>
      </c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customFormat="false" ht="15" hidden="false" customHeight="true" outlineLevel="0" collapsed="false">
      <c r="A21" s="7" t="s">
        <v>49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15" hidden="false" customHeight="true" outlineLevel="0" collapsed="false">
      <c r="A22" s="3" t="s">
        <v>50</v>
      </c>
      <c r="B22" s="3" t="s">
        <v>51</v>
      </c>
      <c r="C22" s="9" t="n">
        <v>292000</v>
      </c>
      <c r="D22" s="9"/>
      <c r="E22" s="9"/>
      <c r="F22" s="9"/>
      <c r="G22" s="9"/>
      <c r="H22" s="9"/>
      <c r="I22" s="9"/>
      <c r="J22" s="9" t="n">
        <v>275024</v>
      </c>
      <c r="K22" s="9" t="n">
        <v>269661</v>
      </c>
      <c r="L22" s="9" t="n">
        <v>331096</v>
      </c>
      <c r="M22" s="9"/>
      <c r="N22" s="9"/>
      <c r="O22" s="9"/>
      <c r="P22" s="10" t="n">
        <f aca="false">SUM(D22:O22)</f>
        <v>875781</v>
      </c>
      <c r="Q22" s="10" t="n">
        <f aca="false">IFERROR(AVERAGEIF(D22:O22,"&lt;&gt;"),0)</f>
        <v>291927</v>
      </c>
    </row>
    <row r="23" customFormat="false" ht="15" hidden="false" customHeight="true" outlineLevel="0" collapsed="false">
      <c r="A23" s="3" t="s">
        <v>52</v>
      </c>
      <c r="B23" s="3" t="s">
        <v>51</v>
      </c>
      <c r="C23" s="9" t="n">
        <v>52000</v>
      </c>
      <c r="D23" s="9"/>
      <c r="E23" s="9"/>
      <c r="F23" s="9"/>
      <c r="G23" s="9"/>
      <c r="H23" s="9"/>
      <c r="I23" s="9"/>
      <c r="J23" s="9" t="n">
        <v>12664</v>
      </c>
      <c r="K23" s="9" t="n">
        <v>128384</v>
      </c>
      <c r="L23" s="9" t="n">
        <v>14530</v>
      </c>
      <c r="M23" s="9"/>
      <c r="N23" s="9"/>
      <c r="O23" s="9"/>
      <c r="P23" s="10" t="n">
        <f aca="false">SUM(D23:O23)</f>
        <v>155578</v>
      </c>
      <c r="Q23" s="10" t="n">
        <f aca="false">IFERROR(AVERAGEIF(D23:O23,"&lt;&gt;"),0)</f>
        <v>51859.3333333333</v>
      </c>
    </row>
    <row r="24" customFormat="false" ht="15" hidden="false" customHeight="true" outlineLevel="0" collapsed="false">
      <c r="A24" s="3" t="s">
        <v>53</v>
      </c>
      <c r="B24" s="3" t="s">
        <v>51</v>
      </c>
      <c r="C24" s="9" t="n">
        <v>50000</v>
      </c>
      <c r="D24" s="9"/>
      <c r="E24" s="9"/>
      <c r="F24" s="9"/>
      <c r="G24" s="9"/>
      <c r="H24" s="9"/>
      <c r="I24" s="9"/>
      <c r="J24" s="9" t="n">
        <v>105949</v>
      </c>
      <c r="K24" s="9" t="n">
        <v>27921</v>
      </c>
      <c r="L24" s="9" t="n">
        <v>17482</v>
      </c>
      <c r="M24" s="9"/>
      <c r="N24" s="9"/>
      <c r="O24" s="9"/>
      <c r="P24" s="10" t="n">
        <f aca="false">SUM(D24:O24)</f>
        <v>151352</v>
      </c>
      <c r="Q24" s="10" t="n">
        <f aca="false">IFERROR(AVERAGEIF(D24:O24,"&lt;&gt;"),0)</f>
        <v>50450.6666666667</v>
      </c>
    </row>
    <row r="25" customFormat="false" ht="15" hidden="false" customHeight="true" outlineLevel="0" collapsed="false">
      <c r="A25" s="3" t="s">
        <v>54</v>
      </c>
      <c r="B25" s="3" t="s">
        <v>51</v>
      </c>
      <c r="C25" s="9" t="n">
        <v>150000</v>
      </c>
      <c r="D25" s="9"/>
      <c r="E25" s="9"/>
      <c r="F25" s="9"/>
      <c r="G25" s="9"/>
      <c r="H25" s="9"/>
      <c r="I25" s="9"/>
      <c r="J25" s="9" t="n">
        <v>97090</v>
      </c>
      <c r="K25" s="9" t="n">
        <v>273897</v>
      </c>
      <c r="L25" s="9" t="n">
        <v>80000</v>
      </c>
      <c r="M25" s="9"/>
      <c r="N25" s="9"/>
      <c r="O25" s="9"/>
      <c r="P25" s="10" t="n">
        <f aca="false">SUM(D25:O25)</f>
        <v>450987</v>
      </c>
      <c r="Q25" s="10" t="n">
        <f aca="false">IFERROR(AVERAGEIF(D25:O25,"&lt;&gt;"),0)</f>
        <v>150329</v>
      </c>
    </row>
    <row r="26" customFormat="false" ht="15" hidden="false" customHeight="true" outlineLevel="0" collapsed="false">
      <c r="A26" s="3" t="s">
        <v>55</v>
      </c>
      <c r="B26" s="3" t="s">
        <v>51</v>
      </c>
      <c r="C26" s="9" t="n">
        <v>14000</v>
      </c>
      <c r="D26" s="9"/>
      <c r="E26" s="9"/>
      <c r="F26" s="9"/>
      <c r="G26" s="9"/>
      <c r="H26" s="9"/>
      <c r="I26" s="9"/>
      <c r="J26" s="9" t="n">
        <v>37000</v>
      </c>
      <c r="K26" s="9" t="n">
        <v>1500</v>
      </c>
      <c r="L26" s="9" t="n">
        <v>2000</v>
      </c>
      <c r="M26" s="9"/>
      <c r="N26" s="9"/>
      <c r="O26" s="9"/>
      <c r="P26" s="10" t="n">
        <f aca="false">SUM(D26:O26)</f>
        <v>40500</v>
      </c>
      <c r="Q26" s="10" t="n">
        <f aca="false">IFERROR(AVERAGEIF(D26:O26,"&lt;&gt;"),0)</f>
        <v>13500</v>
      </c>
    </row>
    <row r="27" customFormat="false" ht="15" hidden="false" customHeight="true" outlineLevel="0" collapsed="false">
      <c r="A27" s="3" t="s">
        <v>56</v>
      </c>
      <c r="B27" s="3" t="s">
        <v>51</v>
      </c>
      <c r="C27" s="9" t="n">
        <v>159000</v>
      </c>
      <c r="D27" s="9"/>
      <c r="E27" s="9"/>
      <c r="F27" s="9"/>
      <c r="G27" s="9"/>
      <c r="H27" s="9"/>
      <c r="I27" s="9"/>
      <c r="J27" s="9" t="n">
        <v>292211</v>
      </c>
      <c r="K27" s="9" t="n">
        <v>356665</v>
      </c>
      <c r="L27" s="9" t="n">
        <v>144492</v>
      </c>
      <c r="M27" s="9"/>
      <c r="N27" s="9"/>
      <c r="O27" s="9"/>
      <c r="P27" s="10" t="n">
        <f aca="false">SUM(D27:O27)</f>
        <v>793368</v>
      </c>
      <c r="Q27" s="10" t="n">
        <f aca="false">IFERROR(AVERAGEIF(D27:O27,"&lt;&gt;"),0)</f>
        <v>264456</v>
      </c>
    </row>
    <row r="28" customFormat="false" ht="15" hidden="false" customHeight="true" outlineLevel="0" collapsed="false">
      <c r="A28" s="11" t="s">
        <v>57</v>
      </c>
      <c r="B28" s="5"/>
      <c r="C28" s="12" t="n">
        <f aca="false">SUM(C22:C27)</f>
        <v>717000</v>
      </c>
      <c r="D28" s="12" t="n">
        <f aca="false">SUM(D22:D27)</f>
        <v>0</v>
      </c>
      <c r="E28" s="12" t="n">
        <f aca="false">SUM(E22:E27)</f>
        <v>0</v>
      </c>
      <c r="F28" s="12" t="n">
        <f aca="false">SUM(F22:F27)</f>
        <v>0</v>
      </c>
      <c r="G28" s="12" t="n">
        <f aca="false">SUM(G22:G27)</f>
        <v>0</v>
      </c>
      <c r="H28" s="12" t="n">
        <f aca="false">SUM(H22:H27)</f>
        <v>0</v>
      </c>
      <c r="I28" s="12" t="n">
        <f aca="false">SUM(I22:I27)</f>
        <v>0</v>
      </c>
      <c r="J28" s="12" t="n">
        <f aca="false">SUM(J22:J27)</f>
        <v>819938</v>
      </c>
      <c r="K28" s="12" t="n">
        <f aca="false">SUM(K22:K27)</f>
        <v>1058028</v>
      </c>
      <c r="L28" s="12" t="n">
        <f aca="false">SUM(L22:L27)</f>
        <v>589600</v>
      </c>
      <c r="M28" s="12" t="n">
        <f aca="false">SUM(M22:M27)</f>
        <v>0</v>
      </c>
      <c r="N28" s="12" t="n">
        <f aca="false">SUM(N22:N27)</f>
        <v>0</v>
      </c>
      <c r="O28" s="12" t="n">
        <f aca="false">SUM(O22:O27)</f>
        <v>0</v>
      </c>
      <c r="P28" s="12" t="n">
        <f aca="false">SUM(P22:P27)</f>
        <v>2467566</v>
      </c>
      <c r="Q28" s="12" t="n">
        <f aca="false">SUM(Q22:Q27)</f>
        <v>822522</v>
      </c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customFormat="false" ht="15" hidden="false" customHeight="true" outlineLevel="0" collapsed="false">
      <c r="A30" s="7" t="s">
        <v>58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customFormat="false" ht="15" hidden="false" customHeight="true" outlineLevel="0" collapsed="false">
      <c r="A31" s="3" t="s">
        <v>59</v>
      </c>
      <c r="B31" s="3" t="s">
        <v>60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 t="n">
        <f aca="false">SUM(D31:O31)</f>
        <v>0</v>
      </c>
      <c r="Q31" s="10" t="n">
        <f aca="false">IFERROR(AVERAGEIF(D31:O31,"&lt;&gt;"),0)</f>
        <v>0</v>
      </c>
    </row>
    <row r="32" customFormat="false" ht="15" hidden="false" customHeight="true" outlineLevel="0" collapsed="false">
      <c r="A32" s="3" t="s">
        <v>61</v>
      </c>
      <c r="B32" s="3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0" t="n">
        <f aca="false">SUM(D32:O32)</f>
        <v>0</v>
      </c>
      <c r="Q32" s="10" t="n">
        <f aca="false">IFERROR(AVERAGEIF(D32:O32,"&lt;&gt;"),0)</f>
        <v>0</v>
      </c>
    </row>
    <row r="33" customFormat="false" ht="15" hidden="false" customHeight="true" outlineLevel="0" collapsed="false">
      <c r="A33" s="3" t="s">
        <v>62</v>
      </c>
      <c r="B33" s="3" t="s">
        <v>60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0" t="n">
        <f aca="false">SUM(D33:O33)</f>
        <v>0</v>
      </c>
      <c r="Q33" s="10" t="n">
        <f aca="false">IFERROR(AVERAGEIF(D33:O33,"&lt;&gt;"),0)</f>
        <v>0</v>
      </c>
    </row>
    <row r="34" customFormat="false" ht="15" hidden="false" customHeight="true" outlineLevel="0" collapsed="false">
      <c r="A34" s="11" t="s">
        <v>63</v>
      </c>
      <c r="B34" s="5"/>
      <c r="C34" s="12" t="n">
        <f aca="false">SUM(C31:C33)</f>
        <v>0</v>
      </c>
      <c r="D34" s="12" t="n">
        <f aca="false">SUM(D31:D33)</f>
        <v>0</v>
      </c>
      <c r="E34" s="12" t="n">
        <f aca="false">SUM(E31:E33)</f>
        <v>0</v>
      </c>
      <c r="F34" s="12" t="n">
        <f aca="false">SUM(F31:F33)</f>
        <v>0</v>
      </c>
      <c r="G34" s="12" t="n">
        <f aca="false">SUM(G31:G33)</f>
        <v>0</v>
      </c>
      <c r="H34" s="12" t="n">
        <f aca="false">SUM(H31:H33)</f>
        <v>0</v>
      </c>
      <c r="I34" s="12" t="n">
        <f aca="false">SUM(I31:I33)</f>
        <v>0</v>
      </c>
      <c r="J34" s="12" t="n">
        <f aca="false">SUM(J31:J33)</f>
        <v>0</v>
      </c>
      <c r="K34" s="12" t="n">
        <f aca="false">SUM(K31:K33)</f>
        <v>0</v>
      </c>
      <c r="L34" s="12" t="n">
        <f aca="false">SUM(L31:L33)</f>
        <v>0</v>
      </c>
      <c r="M34" s="12" t="n">
        <f aca="false">SUM(M31:M33)</f>
        <v>0</v>
      </c>
      <c r="N34" s="12" t="n">
        <f aca="false">SUM(N31:N33)</f>
        <v>0</v>
      </c>
      <c r="O34" s="12" t="n">
        <f aca="false">SUM(O31:O33)</f>
        <v>0</v>
      </c>
      <c r="P34" s="12" t="n">
        <f aca="false">SUM(P31:P33)</f>
        <v>0</v>
      </c>
      <c r="Q34" s="12" t="n">
        <f aca="false">SUM(Q31:Q33)</f>
        <v>0</v>
      </c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customFormat="false" ht="17.25" hidden="false" customHeight="true" outlineLevel="0" collapsed="false">
      <c r="A36" s="2" t="s">
        <v>64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customFormat="false" ht="15" hidden="false" customHeight="true" outlineLevel="0" collapsed="false">
      <c r="A37" s="11" t="s">
        <v>65</v>
      </c>
      <c r="B37" s="5"/>
      <c r="C37" s="10" t="n">
        <f aca="false">C8-C19-C28-C34</f>
        <v>-13000</v>
      </c>
      <c r="D37" s="10" t="n">
        <f aca="false">D8-D19-D28-D34</f>
        <v>0</v>
      </c>
      <c r="E37" s="10" t="n">
        <f aca="false">E8-E19-E28-E34</f>
        <v>0</v>
      </c>
      <c r="F37" s="10" t="n">
        <f aca="false">F8-F19-F28-F34</f>
        <v>0</v>
      </c>
      <c r="G37" s="10" t="n">
        <f aca="false">G8-G19-G28-G34</f>
        <v>0</v>
      </c>
      <c r="H37" s="10" t="n">
        <f aca="false">H8-H19-H28-H34</f>
        <v>0</v>
      </c>
      <c r="I37" s="10" t="n">
        <f aca="false">I8-I19-I28-I34</f>
        <v>0</v>
      </c>
      <c r="J37" s="10" t="n">
        <f aca="false">J8-J19-J28-J34</f>
        <v>-542784</v>
      </c>
      <c r="K37" s="10" t="n">
        <f aca="false">K8-K19-K28-K34</f>
        <v>26657</v>
      </c>
      <c r="L37" s="10" t="n">
        <f aca="false">L8-L19-L28-L34</f>
        <v>14153</v>
      </c>
      <c r="M37" s="10" t="n">
        <f aca="false">M8-M19-M28-M34</f>
        <v>0</v>
      </c>
      <c r="N37" s="10" t="n">
        <f aca="false">N8-N19-N28-N34</f>
        <v>0</v>
      </c>
      <c r="O37" s="10" t="n">
        <f aca="false">O8-O19-O28-O34</f>
        <v>0</v>
      </c>
      <c r="P37" s="10" t="n">
        <f aca="false">P8-P19-P28-P34</f>
        <v>-501974</v>
      </c>
      <c r="Q37" s="10" t="n">
        <f aca="false">Q8-Q19-Q28-Q34</f>
        <v>-183826.166666667</v>
      </c>
    </row>
    <row r="38" customFormat="false" ht="15" hidden="false" customHeight="true" outlineLevel="0" collapsed="false">
      <c r="A38" s="11" t="s">
        <v>66</v>
      </c>
      <c r="B38" s="5"/>
      <c r="C38" s="13" t="n">
        <f aca="false">IFERROR(C19/C8,0)</f>
        <v>0.608888888888889</v>
      </c>
      <c r="D38" s="13" t="n">
        <f aca="false">IFERROR(D19/D8,0)</f>
        <v>0</v>
      </c>
      <c r="E38" s="13" t="n">
        <f aca="false">IFERROR(E19/E8,0)</f>
        <v>0</v>
      </c>
      <c r="F38" s="13" t="n">
        <f aca="false">IFERROR(F19/F8,0)</f>
        <v>0</v>
      </c>
      <c r="G38" s="13" t="n">
        <f aca="false">IFERROR(G19/G8,0)</f>
        <v>0</v>
      </c>
      <c r="H38" s="13" t="n">
        <f aca="false">IFERROR(H19/H8,0)</f>
        <v>0</v>
      </c>
      <c r="I38" s="13" t="n">
        <f aca="false">IFERROR(I19/I8,0)</f>
        <v>0</v>
      </c>
      <c r="J38" s="13" t="n">
        <f aca="false">IFERROR(J19/J8,0)</f>
        <v>0.798163360424131</v>
      </c>
      <c r="K38" s="13" t="n">
        <f aca="false">IFERROR(K19/K8,0)</f>
        <v>0.50575428079578</v>
      </c>
      <c r="L38" s="13" t="n">
        <f aca="false">IFERROR(L19/L8,0)</f>
        <v>0.641964568456034</v>
      </c>
      <c r="M38" s="13" t="n">
        <f aca="false">IFERROR(M19/M8,0)</f>
        <v>0</v>
      </c>
      <c r="N38" s="13" t="n">
        <f aca="false">IFERROR(N19/N8,0)</f>
        <v>0</v>
      </c>
      <c r="O38" s="13" t="n">
        <f aca="false">IFERROR(O19/O8,0)</f>
        <v>0</v>
      </c>
      <c r="P38" s="13" t="n">
        <f aca="false">IFERROR(P19/P8,0)</f>
        <v>0.625892330171537</v>
      </c>
      <c r="Q38" s="13" t="n">
        <f aca="false">IFERROR(Q19/Q8,0)</f>
        <v>0.635314434627102</v>
      </c>
    </row>
    <row r="39" customFormat="false" ht="15" hidden="false" customHeight="true" outlineLevel="0" collapsed="false">
      <c r="A39" s="11" t="s">
        <v>67</v>
      </c>
      <c r="B39" s="5"/>
      <c r="C39" s="13" t="n">
        <f aca="false">IFERROR(C28/C8,0)</f>
        <v>0.398333333333333</v>
      </c>
      <c r="D39" s="13" t="n">
        <f aca="false">IFERROR(D28/D8,0)</f>
        <v>0</v>
      </c>
      <c r="E39" s="13" t="n">
        <f aca="false">IFERROR(E28/E8,0)</f>
        <v>0</v>
      </c>
      <c r="F39" s="13" t="n">
        <f aca="false">IFERROR(F28/F8,0)</f>
        <v>0</v>
      </c>
      <c r="G39" s="13" t="n">
        <f aca="false">IFERROR(G28/G8,0)</f>
        <v>0</v>
      </c>
      <c r="H39" s="13" t="n">
        <f aca="false">IFERROR(H28/H8,0)</f>
        <v>0</v>
      </c>
      <c r="I39" s="13" t="n">
        <f aca="false">IFERROR(I28/I8,0)</f>
        <v>0</v>
      </c>
      <c r="J39" s="13" t="n">
        <f aca="false">IFERROR(J28/J8,0)</f>
        <v>0.597117597366658</v>
      </c>
      <c r="K39" s="13" t="n">
        <f aca="false">IFERROR(K28/K8,0)</f>
        <v>0.482099235997734</v>
      </c>
      <c r="L39" s="13" t="n">
        <f aca="false">IFERROR(L28/L8,0)</f>
        <v>0.349642470411447</v>
      </c>
      <c r="M39" s="13" t="n">
        <f aca="false">IFERROR(M28/M8,0)</f>
        <v>0</v>
      </c>
      <c r="N39" s="13" t="n">
        <f aca="false">IFERROR(N28/N8,0)</f>
        <v>0</v>
      </c>
      <c r="O39" s="13" t="n">
        <f aca="false">IFERROR(O28/O8,0)</f>
        <v>0</v>
      </c>
      <c r="P39" s="13" t="n">
        <f aca="false">IFERROR(P28/P8,0)</f>
        <v>0.469647498772859</v>
      </c>
      <c r="Q39" s="13" t="n">
        <f aca="false">IFERROR(Q28/Q8,0)</f>
        <v>0.469647498772859</v>
      </c>
    </row>
    <row r="40" customFormat="false" ht="15" hidden="false" customHeight="true" outlineLevel="0" collapsed="false">
      <c r="A40" s="11" t="s">
        <v>68</v>
      </c>
      <c r="B40" s="5"/>
      <c r="C40" s="13" t="n">
        <f aca="false">IFERROR(C34/C8,0)</f>
        <v>0</v>
      </c>
      <c r="D40" s="13" t="n">
        <f aca="false">IFERROR(D34/D8,0)</f>
        <v>0</v>
      </c>
      <c r="E40" s="13" t="n">
        <f aca="false">IFERROR(E34/E8,0)</f>
        <v>0</v>
      </c>
      <c r="F40" s="13" t="n">
        <f aca="false">IFERROR(F34/F8,0)</f>
        <v>0</v>
      </c>
      <c r="G40" s="13" t="n">
        <f aca="false">IFERROR(G34/G8,0)</f>
        <v>0</v>
      </c>
      <c r="H40" s="13" t="n">
        <f aca="false">IFERROR(H34/H8,0)</f>
        <v>0</v>
      </c>
      <c r="I40" s="13" t="n">
        <f aca="false">IFERROR(I34/I8,0)</f>
        <v>0</v>
      </c>
      <c r="J40" s="13" t="n">
        <f aca="false">IFERROR(J34/J8,0)</f>
        <v>0</v>
      </c>
      <c r="K40" s="13" t="n">
        <f aca="false">IFERROR(K34/K8,0)</f>
        <v>0</v>
      </c>
      <c r="L40" s="13" t="n">
        <f aca="false">IFERROR(L34/L8,0)</f>
        <v>0</v>
      </c>
      <c r="M40" s="13" t="n">
        <f aca="false">IFERROR(M34/M8,0)</f>
        <v>0</v>
      </c>
      <c r="N40" s="13" t="n">
        <f aca="false">IFERROR(N34/N8,0)</f>
        <v>0</v>
      </c>
      <c r="O40" s="13" t="n">
        <f aca="false">IFERROR(O34/O8,0)</f>
        <v>0</v>
      </c>
      <c r="P40" s="13" t="n">
        <f aca="false">IFERROR(P34/P8,0)</f>
        <v>0</v>
      </c>
      <c r="Q40" s="13" t="n">
        <f aca="false">IFERROR(Q34/Q8,0)</f>
        <v>0</v>
      </c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customFormat="false" ht="15" hidden="false" customHeight="true" outlineLevel="0" collapsed="false">
      <c r="A42" s="11" t="s">
        <v>69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customFormat="false" ht="15" hidden="false" customHeight="true" outlineLevel="0" collapsed="false">
      <c r="A43" s="5" t="s">
        <v>70</v>
      </c>
      <c r="B43" s="5"/>
      <c r="C43" s="14" t="n">
        <v>0.5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customFormat="false" ht="15" hidden="false" customHeight="true" outlineLevel="0" collapsed="false">
      <c r="A44" s="5" t="s">
        <v>71</v>
      </c>
      <c r="B44" s="5"/>
      <c r="C44" s="14" t="n">
        <v>0.3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customFormat="false" ht="15" hidden="false" customHeight="true" outlineLevel="0" collapsed="false">
      <c r="A45" s="5" t="s">
        <v>72</v>
      </c>
      <c r="B45" s="5"/>
      <c r="C45" s="14" t="n">
        <v>0.2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customFormat="false" ht="15" hidden="false" customHeight="true" outlineLevel="0" collapsed="false">
      <c r="A46" s="15" t="s">
        <v>73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2" t="s">
        <v>74</v>
      </c>
      <c r="B1" s="5"/>
      <c r="C1" s="5"/>
      <c r="D1" s="5"/>
    </row>
    <row r="2" customFormat="false" ht="15" hidden="false" customHeight="true" outlineLevel="0" collapsed="false">
      <c r="A2" s="5" t="s">
        <v>75</v>
      </c>
      <c r="B2" s="5"/>
      <c r="C2" s="16"/>
      <c r="D2" s="5"/>
    </row>
    <row r="3" customFormat="false" ht="15" hidden="false" customHeight="true" outlineLevel="0" collapsed="false">
      <c r="A3" s="5"/>
      <c r="B3" s="5"/>
      <c r="C3" s="5"/>
      <c r="D3" s="5"/>
    </row>
    <row r="4" customFormat="false" ht="15" hidden="false" customHeight="true" outlineLevel="0" collapsed="false">
      <c r="A4" s="6" t="s">
        <v>76</v>
      </c>
      <c r="B4" s="6" t="s">
        <v>16</v>
      </c>
      <c r="C4" s="6" t="s">
        <v>77</v>
      </c>
      <c r="D4" s="6" t="s">
        <v>78</v>
      </c>
    </row>
    <row r="5" customFormat="false" ht="15" hidden="false" customHeight="true" outlineLevel="0" collapsed="false">
      <c r="A5" s="5" t="s">
        <v>79</v>
      </c>
      <c r="B5" s="5" t="s">
        <v>80</v>
      </c>
      <c r="C5" s="9"/>
      <c r="D5" s="4" t="s">
        <v>81</v>
      </c>
    </row>
    <row r="6" customFormat="false" ht="15" hidden="false" customHeight="true" outlineLevel="0" collapsed="false">
      <c r="A6" s="5" t="s">
        <v>82</v>
      </c>
      <c r="B6" s="5" t="s">
        <v>80</v>
      </c>
      <c r="C6" s="9"/>
      <c r="D6" s="4" t="s">
        <v>81</v>
      </c>
    </row>
    <row r="7" customFormat="false" ht="15" hidden="false" customHeight="true" outlineLevel="0" collapsed="false">
      <c r="A7" s="5" t="s">
        <v>83</v>
      </c>
      <c r="B7" s="5" t="s">
        <v>80</v>
      </c>
      <c r="C7" s="9"/>
      <c r="D7" s="4" t="s">
        <v>81</v>
      </c>
    </row>
    <row r="8" customFormat="false" ht="15" hidden="false" customHeight="true" outlineLevel="0" collapsed="false">
      <c r="A8" s="5" t="s">
        <v>84</v>
      </c>
      <c r="B8" s="5" t="s">
        <v>62</v>
      </c>
      <c r="C8" s="9"/>
      <c r="D8" s="4" t="s">
        <v>81</v>
      </c>
    </row>
    <row r="9" customFormat="false" ht="15" hidden="false" customHeight="true" outlineLevel="0" collapsed="false">
      <c r="A9" s="5" t="s">
        <v>85</v>
      </c>
      <c r="B9" s="5" t="s">
        <v>62</v>
      </c>
      <c r="C9" s="9"/>
      <c r="D9" s="4" t="s">
        <v>86</v>
      </c>
    </row>
    <row r="10" customFormat="false" ht="15" hidden="false" customHeight="true" outlineLevel="0" collapsed="false">
      <c r="A10" s="5" t="s">
        <v>87</v>
      </c>
      <c r="B10" s="5" t="s">
        <v>88</v>
      </c>
      <c r="C10" s="9"/>
      <c r="D10" s="4" t="s">
        <v>86</v>
      </c>
    </row>
    <row r="11" customFormat="false" ht="15" hidden="false" customHeight="true" outlineLevel="0" collapsed="false">
      <c r="A11" s="5" t="s">
        <v>89</v>
      </c>
      <c r="B11" s="5" t="s">
        <v>90</v>
      </c>
      <c r="C11" s="9"/>
      <c r="D11" s="4" t="s">
        <v>86</v>
      </c>
    </row>
    <row r="12" customFormat="false" ht="15" hidden="false" customHeight="true" outlineLevel="0" collapsed="false">
      <c r="A12" s="5"/>
      <c r="B12" s="5"/>
      <c r="C12" s="9"/>
      <c r="D12" s="4"/>
    </row>
    <row r="13" customFormat="false" ht="15" hidden="false" customHeight="true" outlineLevel="0" collapsed="false">
      <c r="A13" s="5"/>
      <c r="B13" s="5"/>
      <c r="C13" s="9"/>
      <c r="D13" s="4"/>
    </row>
    <row r="14" customFormat="false" ht="15" hidden="false" customHeight="true" outlineLevel="0" collapsed="false">
      <c r="A14" s="5"/>
      <c r="B14" s="5"/>
      <c r="C14" s="9"/>
      <c r="D14" s="4"/>
    </row>
    <row r="15" customFormat="false" ht="15" hidden="false" customHeight="true" outlineLevel="0" collapsed="false">
      <c r="A15" s="11" t="s">
        <v>91</v>
      </c>
      <c r="B15" s="5"/>
      <c r="C15" s="12" t="n">
        <f aca="false">SUM(C5:C14)</f>
        <v>0</v>
      </c>
      <c r="D15" s="5"/>
    </row>
    <row r="16" customFormat="false" ht="15" hidden="false" customHeight="true" outlineLevel="0" collapsed="false">
      <c r="A16" s="11" t="s">
        <v>92</v>
      </c>
      <c r="B16" s="5"/>
      <c r="C16" s="10" t="n">
        <f aca="false">SUMIF(D5:D14,"да",C5:C14)</f>
        <v>0</v>
      </c>
      <c r="D16" s="5"/>
    </row>
    <row r="17" customFormat="false" ht="15" hidden="false" customHeight="true" outlineLevel="0" collapsed="false">
      <c r="A17" s="5"/>
      <c r="B17" s="5"/>
      <c r="C17" s="5"/>
      <c r="D17" s="5"/>
    </row>
    <row r="18" customFormat="false" ht="15" hidden="false" customHeight="true" outlineLevel="0" collapsed="false">
      <c r="A18" s="6" t="s">
        <v>93</v>
      </c>
      <c r="B18" s="6" t="s">
        <v>16</v>
      </c>
      <c r="C18" s="6" t="s">
        <v>94</v>
      </c>
      <c r="D18" s="6"/>
    </row>
    <row r="19" customFormat="false" ht="15" hidden="false" customHeight="true" outlineLevel="0" collapsed="false">
      <c r="A19" s="5" t="s">
        <v>95</v>
      </c>
      <c r="B19" s="5" t="s">
        <v>96</v>
      </c>
      <c r="C19" s="9"/>
      <c r="D19" s="5"/>
    </row>
    <row r="20" customFormat="false" ht="15" hidden="false" customHeight="true" outlineLevel="0" collapsed="false">
      <c r="A20" s="5" t="s">
        <v>97</v>
      </c>
      <c r="B20" s="5" t="s">
        <v>96</v>
      </c>
      <c r="C20" s="9"/>
      <c r="D20" s="5"/>
    </row>
    <row r="21" customFormat="false" ht="15" hidden="false" customHeight="true" outlineLevel="0" collapsed="false">
      <c r="A21" s="5" t="s">
        <v>98</v>
      </c>
      <c r="B21" s="5" t="s">
        <v>96</v>
      </c>
      <c r="C21" s="9"/>
      <c r="D21" s="5"/>
    </row>
    <row r="22" customFormat="false" ht="15" hidden="false" customHeight="true" outlineLevel="0" collapsed="false">
      <c r="A22" s="5" t="s">
        <v>99</v>
      </c>
      <c r="B22" s="5" t="s">
        <v>96</v>
      </c>
      <c r="C22" s="9"/>
      <c r="D22" s="5"/>
    </row>
    <row r="23" customFormat="false" ht="15" hidden="false" customHeight="true" outlineLevel="0" collapsed="false">
      <c r="A23" s="5" t="s">
        <v>100</v>
      </c>
      <c r="B23" s="5" t="s">
        <v>101</v>
      </c>
      <c r="C23" s="9"/>
      <c r="D23" s="5"/>
    </row>
    <row r="24" customFormat="false" ht="15" hidden="false" customHeight="true" outlineLevel="0" collapsed="false">
      <c r="A24" s="5"/>
      <c r="B24" s="5"/>
      <c r="C24" s="9"/>
      <c r="D24" s="5"/>
    </row>
    <row r="25" customFormat="false" ht="15" hidden="false" customHeight="true" outlineLevel="0" collapsed="false">
      <c r="A25" s="5"/>
      <c r="B25" s="5"/>
      <c r="C25" s="9"/>
      <c r="D25" s="5"/>
    </row>
    <row r="26" customFormat="false" ht="15" hidden="false" customHeight="true" outlineLevel="0" collapsed="false">
      <c r="A26" s="11" t="s">
        <v>102</v>
      </c>
      <c r="B26" s="5"/>
      <c r="C26" s="12" t="n">
        <f aca="false">SUM(C19:C25)</f>
        <v>0</v>
      </c>
      <c r="D26" s="5"/>
    </row>
    <row r="27" customFormat="false" ht="15" hidden="false" customHeight="true" outlineLevel="0" collapsed="false">
      <c r="A27" s="5"/>
      <c r="B27" s="5"/>
      <c r="C27" s="5"/>
      <c r="D27" s="5"/>
    </row>
    <row r="28" customFormat="false" ht="17.25" hidden="false" customHeight="true" outlineLevel="0" collapsed="false">
      <c r="A28" s="2" t="s">
        <v>103</v>
      </c>
      <c r="B28" s="5"/>
      <c r="C28" s="17" t="n">
        <f aca="false">C15-C26</f>
        <v>0</v>
      </c>
      <c r="D28" s="5"/>
    </row>
  </sheetData>
  <dataValidations count="1">
    <dataValidation allowBlank="false" errorStyle="stop" operator="between" showDropDown="false" showErrorMessage="false" showInputMessage="false" sqref="D5:D14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59</v>
      </c>
      <c r="B1" s="5"/>
    </row>
    <row r="2" customFormat="false" ht="15" hidden="false" customHeight="true" outlineLevel="0" collapsed="false">
      <c r="A2" s="5"/>
      <c r="B2" s="5"/>
    </row>
    <row r="3" customFormat="false" ht="15" hidden="false" customHeight="true" outlineLevel="0" collapsed="false">
      <c r="A3" s="3" t="s">
        <v>104</v>
      </c>
      <c r="B3" s="18" t="n">
        <f aca="false">Бюджет!Q19</f>
        <v>1112664.5</v>
      </c>
    </row>
    <row r="4" customFormat="false" ht="15" hidden="false" customHeight="true" outlineLevel="0" collapsed="false">
      <c r="A4" s="3" t="s">
        <v>105</v>
      </c>
      <c r="B4" s="9"/>
    </row>
    <row r="5" customFormat="false" ht="15" hidden="false" customHeight="true" outlineLevel="0" collapsed="false">
      <c r="A5" s="3" t="s">
        <v>106</v>
      </c>
      <c r="B5" s="19" t="n">
        <f aca="false">IF(B4&gt;0,B4,B3)</f>
        <v>1112664.5</v>
      </c>
    </row>
    <row r="6" customFormat="false" ht="15" hidden="false" customHeight="true" outlineLevel="0" collapsed="false">
      <c r="A6" s="3" t="s">
        <v>107</v>
      </c>
      <c r="B6" s="20" t="n">
        <v>6</v>
      </c>
    </row>
    <row r="7" customFormat="false" ht="15" hidden="false" customHeight="true" outlineLevel="0" collapsed="false">
      <c r="A7" s="3" t="s">
        <v>108</v>
      </c>
      <c r="B7" s="12" t="n">
        <f aca="false">B5*B6</f>
        <v>6675987</v>
      </c>
    </row>
    <row r="8" customFormat="false" ht="15" hidden="false" customHeight="true" outlineLevel="0" collapsed="false">
      <c r="A8" s="3" t="s">
        <v>109</v>
      </c>
      <c r="B8" s="18" t="n">
        <f aca="false">Капитал!C16</f>
        <v>0</v>
      </c>
    </row>
    <row r="9" customFormat="false" ht="15" hidden="false" customHeight="true" outlineLevel="0" collapsed="false">
      <c r="A9" s="3" t="s">
        <v>110</v>
      </c>
      <c r="B9" s="12" t="n">
        <f aca="false">MAX(0,B7-B8)</f>
        <v>6675987</v>
      </c>
    </row>
    <row r="10" customFormat="false" ht="15" hidden="false" customHeight="true" outlineLevel="0" collapsed="false">
      <c r="A10" s="3" t="s">
        <v>111</v>
      </c>
      <c r="B10" s="21" t="n">
        <f aca="false">IFERROR(MIN(1,B8/B7),0)</f>
        <v>0</v>
      </c>
    </row>
    <row r="11" customFormat="false" ht="15" hidden="false" customHeight="true" outlineLevel="0" collapsed="false">
      <c r="A11" s="3" t="s">
        <v>112</v>
      </c>
      <c r="B11" s="9"/>
    </row>
    <row r="12" customFormat="false" ht="15" hidden="false" customHeight="true" outlineLevel="0" collapsed="false">
      <c r="A12" s="3" t="s">
        <v>113</v>
      </c>
      <c r="B12" s="22" t="str">
        <f aca="false">IF(B9=0,0,IFERROR(ROUNDUP(B9/B11,0),"укажите взнос"))</f>
        <v>укажите взнос</v>
      </c>
    </row>
    <row r="13" customFormat="false" ht="15" hidden="false" customHeight="true" outlineLevel="0" collapsed="false">
      <c r="A13" s="5"/>
      <c r="B13" s="5"/>
    </row>
    <row r="14" customFormat="false" ht="15" hidden="false" customHeight="true" outlineLevel="0" collapsed="false">
      <c r="A14" s="15" t="s">
        <v>114</v>
      </c>
      <c r="B1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2" t="s">
        <v>115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true" outlineLevel="0" collapsed="false">
      <c r="A2" s="5" t="s">
        <v>116</v>
      </c>
      <c r="B2" s="23" t="n">
        <f aca="true">TODAY()</f>
        <v>46300</v>
      </c>
      <c r="C2" s="5"/>
      <c r="D2" s="5"/>
      <c r="E2" s="5"/>
      <c r="F2" s="5"/>
      <c r="G2" s="5"/>
      <c r="H2" s="5"/>
      <c r="I2" s="5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</row>
    <row r="4" customFormat="false" ht="26.25" hidden="false" customHeight="true" outlineLevel="0" collapsed="false">
      <c r="A4" s="6" t="s">
        <v>117</v>
      </c>
      <c r="B4" s="6" t="s">
        <v>118</v>
      </c>
      <c r="C4" s="6" t="s">
        <v>119</v>
      </c>
      <c r="D4" s="6" t="s">
        <v>120</v>
      </c>
      <c r="E4" s="6" t="s">
        <v>121</v>
      </c>
      <c r="F4" s="6" t="s">
        <v>122</v>
      </c>
      <c r="G4" s="6" t="s">
        <v>123</v>
      </c>
      <c r="H4" s="6" t="s">
        <v>124</v>
      </c>
      <c r="I4" s="6" t="s">
        <v>125</v>
      </c>
    </row>
    <row r="5" customFormat="false" ht="15" hidden="false" customHeight="true" outlineLevel="0" collapsed="false">
      <c r="A5" s="4" t="s">
        <v>126</v>
      </c>
      <c r="B5" s="4" t="n">
        <v>2</v>
      </c>
      <c r="C5" s="9" t="n">
        <v>1200000</v>
      </c>
      <c r="D5" s="16" t="n">
        <v>46569</v>
      </c>
      <c r="E5" s="9" t="n">
        <v>200000</v>
      </c>
      <c r="F5" s="10" t="n">
        <f aca="false">IF(C5="","",MAX(0,C5-E5))</f>
        <v>1000000</v>
      </c>
      <c r="G5" s="5" t="n">
        <f aca="false">IF(D5="","",MAX(1,DATEDIF($B$2,MAX(D5,$B$2),"m")))</f>
        <v>8</v>
      </c>
      <c r="H5" s="10" t="n">
        <f aca="false">IF(OR(C5="",D5=""),"",F5/G5)</f>
        <v>125000</v>
      </c>
      <c r="I5" s="13" t="n">
        <f aca="false">IF(C5="","",IFERROR(E5/C5,0))</f>
        <v>0.166666666666667</v>
      </c>
    </row>
    <row r="6" customFormat="false" ht="15" hidden="false" customHeight="true" outlineLevel="0" collapsed="false">
      <c r="A6" s="4"/>
      <c r="B6" s="4"/>
      <c r="C6" s="9"/>
      <c r="D6" s="16"/>
      <c r="E6" s="9"/>
      <c r="F6" s="10" t="str">
        <f aca="false">IF(C6="","",MAX(0,C6-E6))</f>
        <v/>
      </c>
      <c r="G6" s="5" t="str">
        <f aca="false">IF(D6="","",MAX(1,DATEDIF($B$2,MAX(D6,$B$2),"m")))</f>
        <v/>
      </c>
      <c r="H6" s="10" t="str">
        <f aca="false">IF(OR(C6="",D6=""),"",F6/G6)</f>
        <v/>
      </c>
      <c r="I6" s="13" t="str">
        <f aca="false">IF(C6="","",IFERROR(E6/C6,0))</f>
        <v/>
      </c>
    </row>
    <row r="7" customFormat="false" ht="15" hidden="false" customHeight="true" outlineLevel="0" collapsed="false">
      <c r="A7" s="4"/>
      <c r="B7" s="4"/>
      <c r="C7" s="9"/>
      <c r="D7" s="16"/>
      <c r="E7" s="9"/>
      <c r="F7" s="10" t="str">
        <f aca="false">IF(C7="","",MAX(0,C7-E7))</f>
        <v/>
      </c>
      <c r="G7" s="5" t="str">
        <f aca="false">IF(D7="","",MAX(1,DATEDIF($B$2,MAX(D7,$B$2),"m")))</f>
        <v/>
      </c>
      <c r="H7" s="10" t="str">
        <f aca="false">IF(OR(C7="",D7=""),"",F7/G7)</f>
        <v/>
      </c>
      <c r="I7" s="13" t="str">
        <f aca="false">IF(C7="","",IFERROR(E7/C7,0))</f>
        <v/>
      </c>
    </row>
    <row r="8" customFormat="false" ht="15" hidden="false" customHeight="true" outlineLevel="0" collapsed="false">
      <c r="A8" s="4"/>
      <c r="B8" s="4"/>
      <c r="C8" s="9"/>
      <c r="D8" s="16"/>
      <c r="E8" s="9"/>
      <c r="F8" s="10" t="str">
        <f aca="false">IF(C8="","",MAX(0,C8-E8))</f>
        <v/>
      </c>
      <c r="G8" s="5" t="str">
        <f aca="false">IF(D8="","",MAX(1,DATEDIF($B$2,MAX(D8,$B$2),"m")))</f>
        <v/>
      </c>
      <c r="H8" s="10" t="str">
        <f aca="false">IF(OR(C8="",D8=""),"",F8/G8)</f>
        <v/>
      </c>
      <c r="I8" s="13" t="str">
        <f aca="false">IF(C8="","",IFERROR(E8/C8,0))</f>
        <v/>
      </c>
    </row>
    <row r="9" customFormat="false" ht="15" hidden="false" customHeight="true" outlineLevel="0" collapsed="false">
      <c r="A9" s="4"/>
      <c r="B9" s="4"/>
      <c r="C9" s="9"/>
      <c r="D9" s="16"/>
      <c r="E9" s="9"/>
      <c r="F9" s="10" t="str">
        <f aca="false">IF(C9="","",MAX(0,C9-E9))</f>
        <v/>
      </c>
      <c r="G9" s="5" t="str">
        <f aca="false">IF(D9="","",MAX(1,DATEDIF($B$2,MAX(D9,$B$2),"m")))</f>
        <v/>
      </c>
      <c r="H9" s="10" t="str">
        <f aca="false">IF(OR(C9="",D9=""),"",F9/G9)</f>
        <v/>
      </c>
      <c r="I9" s="13" t="str">
        <f aca="false">IF(C9="","",IFERROR(E9/C9,0))</f>
        <v/>
      </c>
    </row>
    <row r="10" customFormat="false" ht="15" hidden="false" customHeight="true" outlineLevel="0" collapsed="false">
      <c r="A10" s="4"/>
      <c r="B10" s="4"/>
      <c r="C10" s="9"/>
      <c r="D10" s="16"/>
      <c r="E10" s="9"/>
      <c r="F10" s="10" t="str">
        <f aca="false">IF(C10="","",MAX(0,C10-E10))</f>
        <v/>
      </c>
      <c r="G10" s="5" t="str">
        <f aca="false">IF(D10="","",MAX(1,DATEDIF($B$2,MAX(D10,$B$2),"m")))</f>
        <v/>
      </c>
      <c r="H10" s="10" t="str">
        <f aca="false">IF(OR(C10="",D10=""),"",F10/G10)</f>
        <v/>
      </c>
      <c r="I10" s="13" t="str">
        <f aca="false">IF(C10="","",IFERROR(E10/C10,0))</f>
        <v/>
      </c>
    </row>
    <row r="11" customFormat="false" ht="15" hidden="false" customHeight="true" outlineLevel="0" collapsed="false">
      <c r="A11" s="4"/>
      <c r="B11" s="4"/>
      <c r="C11" s="9"/>
      <c r="D11" s="16"/>
      <c r="E11" s="9"/>
      <c r="F11" s="10" t="str">
        <f aca="false">IF(C11="","",MAX(0,C11-E11))</f>
        <v/>
      </c>
      <c r="G11" s="5" t="str">
        <f aca="false">IF(D11="","",MAX(1,DATEDIF($B$2,MAX(D11,$B$2),"m")))</f>
        <v/>
      </c>
      <c r="H11" s="10" t="str">
        <f aca="false">IF(OR(C11="",D11=""),"",F11/G11)</f>
        <v/>
      </c>
      <c r="I11" s="13" t="str">
        <f aca="false">IF(C11="","",IFERROR(E11/C11,0))</f>
        <v/>
      </c>
    </row>
    <row r="12" customFormat="false" ht="15" hidden="false" customHeight="true" outlineLevel="0" collapsed="false">
      <c r="A12" s="4"/>
      <c r="B12" s="4"/>
      <c r="C12" s="9"/>
      <c r="D12" s="16"/>
      <c r="E12" s="9"/>
      <c r="F12" s="10" t="str">
        <f aca="false">IF(C12="","",MAX(0,C12-E12))</f>
        <v/>
      </c>
      <c r="G12" s="5" t="str">
        <f aca="false">IF(D12="","",MAX(1,DATEDIF($B$2,MAX(D12,$B$2),"m")))</f>
        <v/>
      </c>
      <c r="H12" s="10" t="str">
        <f aca="false">IF(OR(C12="",D12=""),"",F12/G12)</f>
        <v/>
      </c>
      <c r="I12" s="13" t="str">
        <f aca="false">IF(C12="","",IFERROR(E12/C12,0))</f>
        <v/>
      </c>
    </row>
    <row r="13" customFormat="false" ht="15" hidden="false" customHeight="true" outlineLevel="0" collapsed="false">
      <c r="A13" s="4"/>
      <c r="B13" s="4"/>
      <c r="C13" s="9"/>
      <c r="D13" s="16"/>
      <c r="E13" s="9"/>
      <c r="F13" s="10" t="str">
        <f aca="false">IF(C13="","",MAX(0,C13-E13))</f>
        <v/>
      </c>
      <c r="G13" s="5" t="str">
        <f aca="false">IF(D13="","",MAX(1,DATEDIF($B$2,MAX(D13,$B$2),"m")))</f>
        <v/>
      </c>
      <c r="H13" s="10" t="str">
        <f aca="false">IF(OR(C13="",D13=""),"",F13/G13)</f>
        <v/>
      </c>
      <c r="I13" s="13" t="str">
        <f aca="false">IF(C13="","",IFERROR(E13/C13,0))</f>
        <v/>
      </c>
    </row>
    <row r="14" customFormat="false" ht="15" hidden="false" customHeight="true" outlineLevel="0" collapsed="false">
      <c r="A14" s="4"/>
      <c r="B14" s="4"/>
      <c r="C14" s="9"/>
      <c r="D14" s="16"/>
      <c r="E14" s="9"/>
      <c r="F14" s="10" t="str">
        <f aca="false">IF(C14="","",MAX(0,C14-E14))</f>
        <v/>
      </c>
      <c r="G14" s="5" t="str">
        <f aca="false">IF(D14="","",MAX(1,DATEDIF($B$2,MAX(D14,$B$2),"m")))</f>
        <v/>
      </c>
      <c r="H14" s="10" t="str">
        <f aca="false">IF(OR(C14="",D14=""),"",F14/G14)</f>
        <v/>
      </c>
      <c r="I14" s="13" t="str">
        <f aca="false">IF(C14="","",IFERROR(E14/C14,0))</f>
        <v/>
      </c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true" outlineLevel="0" collapsed="false">
      <c r="A16" s="11" t="s">
        <v>127</v>
      </c>
      <c r="B16" s="5"/>
      <c r="C16" s="5"/>
      <c r="D16" s="5"/>
      <c r="E16" s="5"/>
      <c r="F16" s="5"/>
      <c r="G16" s="5"/>
      <c r="H16" s="12" t="n">
        <f aca="false">SUM(H5:H14)</f>
        <v>125000</v>
      </c>
      <c r="I16" s="5"/>
    </row>
    <row r="17" customFormat="false" ht="15" hidden="false" customHeight="true" outlineLevel="0" collapsed="false">
      <c r="A17" s="15" t="s">
        <v>128</v>
      </c>
      <c r="B17" s="5"/>
      <c r="C17" s="5"/>
      <c r="D17" s="5"/>
      <c r="E17" s="5"/>
      <c r="F17" s="5"/>
      <c r="G17" s="5"/>
      <c r="H17" s="5"/>
      <c r="I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7" min="6" style="1" width="18"/>
    <col collapsed="false" customWidth="true" hidden="false" outlineLevel="0" max="8" min="8" style="1" width="20"/>
  </cols>
  <sheetData>
    <row r="1" customFormat="false" ht="17.25" hidden="false" customHeight="true" outlineLevel="0" collapsed="false">
      <c r="A1" s="2" t="s">
        <v>129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5" t="s">
        <v>130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26.25" hidden="false" customHeight="true" outlineLevel="0" collapsed="false">
      <c r="A4" s="6" t="s">
        <v>93</v>
      </c>
      <c r="B4" s="6" t="s">
        <v>131</v>
      </c>
      <c r="C4" s="6" t="s">
        <v>132</v>
      </c>
      <c r="D4" s="6" t="s">
        <v>133</v>
      </c>
      <c r="E4" s="6" t="s">
        <v>134</v>
      </c>
      <c r="F4" s="6" t="s">
        <v>135</v>
      </c>
      <c r="G4" s="6" t="s">
        <v>136</v>
      </c>
      <c r="H4" s="6" t="s">
        <v>137</v>
      </c>
    </row>
    <row r="5" customFormat="false" ht="15" hidden="false" customHeight="true" outlineLevel="0" collapsed="false">
      <c r="A5" s="4" t="s">
        <v>138</v>
      </c>
      <c r="B5" s="9" t="n">
        <v>600000</v>
      </c>
      <c r="C5" s="14" t="n">
        <v>0.3</v>
      </c>
      <c r="D5" s="9" t="n">
        <v>30000</v>
      </c>
      <c r="E5" s="9" t="n">
        <v>20000</v>
      </c>
      <c r="F5" s="10" t="n">
        <f aca="false">IF(B5="","",B5*C5/12)</f>
        <v>15000</v>
      </c>
      <c r="G5" s="5" t="n">
        <f aca="false">IF(B5="","",IF(C5=0,ROUNDUP(B5/(D5+E5),0),IFERROR(ROUNDUP(NPER(C5/12,-(D5+E5),B5),0),"платёж &lt; процентов!")))</f>
        <v>15</v>
      </c>
      <c r="H5" s="10" t="n">
        <f aca="false">IF(OR(B5="",ISTEXT(G5)),"",MAX(0,G5*(D5+E5)-B5))</f>
        <v>150000</v>
      </c>
    </row>
    <row r="6" customFormat="false" ht="15" hidden="false" customHeight="true" outlineLevel="0" collapsed="false">
      <c r="A6" s="4"/>
      <c r="B6" s="9"/>
      <c r="C6" s="14"/>
      <c r="D6" s="9"/>
      <c r="E6" s="9"/>
      <c r="F6" s="10" t="str">
        <f aca="false">IF(B6="","",B6*C6/12)</f>
        <v/>
      </c>
      <c r="G6" s="5" t="str">
        <f aca="false">IF(B6="","",IF(C6=0,ROUNDUP(B6/(D6+E6),0),IFERROR(ROUNDUP(NPER(C6/12,-(D6+E6),B6),0),"платёж &lt; процентов!")))</f>
        <v/>
      </c>
      <c r="H6" s="10" t="str">
        <f aca="false">IF(OR(B6="",ISTEXT(G6)),"",MAX(0,G6*(D6+E6)-B6))</f>
        <v/>
      </c>
    </row>
    <row r="7" customFormat="false" ht="15" hidden="false" customHeight="true" outlineLevel="0" collapsed="false">
      <c r="A7" s="4"/>
      <c r="B7" s="9"/>
      <c r="C7" s="14"/>
      <c r="D7" s="9"/>
      <c r="E7" s="9"/>
      <c r="F7" s="10" t="str">
        <f aca="false">IF(B7="","",B7*C7/12)</f>
        <v/>
      </c>
      <c r="G7" s="5" t="str">
        <f aca="false">IF(B7="","",IF(C7=0,ROUNDUP(B7/(D7+E7),0),IFERROR(ROUNDUP(NPER(C7/12,-(D7+E7),B7),0),"платёж &lt; процентов!")))</f>
        <v/>
      </c>
      <c r="H7" s="10" t="str">
        <f aca="false">IF(OR(B7="",ISTEXT(G7)),"",MAX(0,G7*(D7+E7)-B7))</f>
        <v/>
      </c>
    </row>
    <row r="8" customFormat="false" ht="15" hidden="false" customHeight="true" outlineLevel="0" collapsed="false">
      <c r="A8" s="4"/>
      <c r="B8" s="9"/>
      <c r="C8" s="14"/>
      <c r="D8" s="9"/>
      <c r="E8" s="9"/>
      <c r="F8" s="10" t="str">
        <f aca="false">IF(B8="","",B8*C8/12)</f>
        <v/>
      </c>
      <c r="G8" s="5" t="str">
        <f aca="false">IF(B8="","",IF(C8=0,ROUNDUP(B8/(D8+E8),0),IFERROR(ROUNDUP(NPER(C8/12,-(D8+E8),B8),0),"платёж &lt; процентов!")))</f>
        <v/>
      </c>
      <c r="H8" s="10" t="str">
        <f aca="false">IF(OR(B8="",ISTEXT(G8)),"",MAX(0,G8*(D8+E8)-B8))</f>
        <v/>
      </c>
    </row>
    <row r="9" customFormat="false" ht="15" hidden="false" customHeight="true" outlineLevel="0" collapsed="false">
      <c r="A9" s="4"/>
      <c r="B9" s="9"/>
      <c r="C9" s="14"/>
      <c r="D9" s="9"/>
      <c r="E9" s="9"/>
      <c r="F9" s="10" t="str">
        <f aca="false">IF(B9="","",B9*C9/12)</f>
        <v/>
      </c>
      <c r="G9" s="5" t="str">
        <f aca="false">IF(B9="","",IF(C9=0,ROUNDUP(B9/(D9+E9),0),IFERROR(ROUNDUP(NPER(C9/12,-(D9+E9),B9),0),"платёж &lt; процентов!")))</f>
        <v/>
      </c>
      <c r="H9" s="10" t="str">
        <f aca="false">IF(OR(B9="",ISTEXT(G9)),"",MAX(0,G9*(D9+E9)-B9))</f>
        <v/>
      </c>
    </row>
    <row r="10" customFormat="false" ht="15" hidden="false" customHeight="true" outlineLevel="0" collapsed="false">
      <c r="A10" s="4"/>
      <c r="B10" s="9"/>
      <c r="C10" s="14"/>
      <c r="D10" s="9"/>
      <c r="E10" s="9"/>
      <c r="F10" s="10" t="str">
        <f aca="false">IF(B10="","",B10*C10/12)</f>
        <v/>
      </c>
      <c r="G10" s="5" t="str">
        <f aca="false">IF(B10="","",IF(C10=0,ROUNDUP(B10/(D10+E10),0),IFERROR(ROUNDUP(NPER(C10/12,-(D10+E10),B10),0),"платёж &lt; процентов!")))</f>
        <v/>
      </c>
      <c r="H10" s="10" t="str">
        <f aca="false">IF(OR(B10="",ISTEXT(G10)),"",MAX(0,G10*(D10+E10)-B10))</f>
        <v/>
      </c>
    </row>
    <row r="11" customFormat="false" ht="15" hidden="false" customHeight="true" outlineLevel="0" collapsed="false">
      <c r="A11" s="4"/>
      <c r="B11" s="9"/>
      <c r="C11" s="14"/>
      <c r="D11" s="9"/>
      <c r="E11" s="9"/>
      <c r="F11" s="10" t="str">
        <f aca="false">IF(B11="","",B11*C11/12)</f>
        <v/>
      </c>
      <c r="G11" s="5" t="str">
        <f aca="false">IF(B11="","",IF(C11=0,ROUNDUP(B11/(D11+E11),0),IFERROR(ROUNDUP(NPER(C11/12,-(D11+E11),B11),0),"платёж &lt; процентов!")))</f>
        <v/>
      </c>
      <c r="H11" s="10" t="str">
        <f aca="false">IF(OR(B11="",ISTEXT(G11)),"",MAX(0,G11*(D11+E11)-B11))</f>
        <v/>
      </c>
    </row>
    <row r="12" customFormat="false" ht="15" hidden="false" customHeight="true" outlineLevel="0" collapsed="false">
      <c r="A12" s="4"/>
      <c r="B12" s="9"/>
      <c r="C12" s="14"/>
      <c r="D12" s="9"/>
      <c r="E12" s="9"/>
      <c r="F12" s="10" t="str">
        <f aca="false">IF(B12="","",B12*C12/12)</f>
        <v/>
      </c>
      <c r="G12" s="5" t="str">
        <f aca="false">IF(B12="","",IF(C12=0,ROUNDUP(B12/(D12+E12),0),IFERROR(ROUNDUP(NPER(C12/12,-(D12+E12),B12),0),"платёж &lt; процентов!")))</f>
        <v/>
      </c>
      <c r="H12" s="10" t="str">
        <f aca="false">IF(OR(B12="",ISTEXT(G12)),"",MAX(0,G12*(D12+E12)-B12))</f>
        <v/>
      </c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11" t="s">
        <v>139</v>
      </c>
      <c r="B14" s="12" t="n">
        <f aca="false">SUM(B5:B12)</f>
        <v>600000</v>
      </c>
      <c r="C14" s="5"/>
      <c r="D14" s="12" t="n">
        <f aca="false">SUM(D5:D12)</f>
        <v>30000</v>
      </c>
      <c r="E14" s="12" t="n">
        <f aca="false">SUM(E5:E12)</f>
        <v>20000</v>
      </c>
      <c r="F14" s="12" t="n">
        <f aca="false">SUM(F5:F12)</f>
        <v>15000</v>
      </c>
      <c r="G14" s="5"/>
      <c r="H14" s="12" t="n">
        <f aca="false">SUM(H5:H12)</f>
        <v>150000</v>
      </c>
    </row>
    <row r="15" customFormat="false" ht="15" hidden="false" customHeight="true" outlineLevel="0" collapsed="false">
      <c r="A15" s="15" t="s">
        <v>140</v>
      </c>
      <c r="B15" s="5"/>
      <c r="C15" s="5"/>
      <c r="D15" s="5"/>
      <c r="E15" s="5"/>
      <c r="F15" s="5"/>
      <c r="G15" s="5"/>
      <c r="H1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2026-10-05T07:37:37Z</dcterms:created>
  <dc:creator>openpyxl</dc:creator>
  <dc:description/>
  <dc:language>en-US</dc:language>
  <cp:lastModifiedBy/>
  <dcterms:modified xsi:type="dcterms:W3CDTF">2026-10-05T13:18:19Z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